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ferral Tracking" sheetId="2" state="visible" r:id="rId4"/>
    <sheet name="Staff List" sheetId="3" state="visible" r:id="rId5"/>
    <sheet name="Commission Rules" sheetId="4" state="visible" r:id="rId6"/>
    <sheet name="Leaderboard" sheetId="5" state="visible" r:id="rId7"/>
    <sheet name="Summary Dashboard"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Auto-numbered. Formula in A2 = REF-0001; copy down for each new row.</t>
        </r>
      </text>
    </comment>
    <comment ref="E1" authorId="0">
      <text>
        <r>
          <rPr>
            <sz val="10"/>
            <rFont val="Arial"/>
            <family val="2"/>
          </rPr>
          <t xml:space="preserve">Auto-filled via lookup against the Staff List tab from the Ambassador Name.</t>
        </r>
      </text>
    </comment>
    <comment ref="S1" authorId="0">
      <text>
        <r>
          <rPr>
            <sz val="10"/>
            <rFont val="Arial"/>
            <family val="2"/>
          </rPr>
          <t xml:space="preserve">Auto-filled from Commission Rules once Conversion Status = Booked-Paid.</t>
        </r>
      </text>
    </comment>
  </commentList>
</comments>
</file>

<file path=xl/sharedStrings.xml><?xml version="1.0" encoding="utf-8"?>
<sst xmlns="http://schemas.openxmlformats.org/spreadsheetml/2006/main" count="236" uniqueCount="153">
  <si>
    <t xml:space="preserve">Nest Ambassadors — Referral Tracking Workbook (V1)</t>
  </si>
  <si>
    <t xml:space="preserve">BirdNest · Internal · Confidential — designed to be opened directly in Google Sheets</t>
  </si>
  <si>
    <t xml:space="preserve">What this is</t>
  </si>
  <si>
    <t xml:space="preserve">•  The single source of truth for the Nest Ambassadors employee referral programme (V1). Every referral — however it enters — lands as one row in the 'Referral Tracking' tab.</t>
  </si>
  <si>
    <t xml:space="preserve">Two intake paths, one sheet</t>
  </si>
  <si>
    <t xml:space="preserve">•  1. Employee Pre-Submitted — an Ambassador fills the referral form BEFORE the client contacts BirdNest. The form timestamp is the attribution proof (must predate any CRM record).</t>
  </si>
  <si>
    <t xml:space="preserve">•  2. Client WhatsApp Form — a client messages BirdNest's WhatsApp number claiming a referral. Whoever answers sends back the client-facing Google Form link (see the form-spec doc). The client fills it themselves before the reservation process starts. That submission timestamp is the attribution proof.</t>
  </si>
  <si>
    <t xml:space="preserve">•  Both Google Forms should be configured to write their responses into the 'Referral Tracking' tab (Google Forms &gt; Responses &gt; link to existing spreadsheet, choosing this tab). Until the two forms are live, Commercial Ops enters rows manually using the same columns.</t>
  </si>
  <si>
    <t xml:space="preserve">Ownership rule</t>
  </si>
  <si>
    <t xml:space="preserve">•  ONE Commercial Ops editor owns the 'Referral Tracking' tab (validation status, assigned-to, conversion, commission columns). Everyone else — Sales, Marketing, CX, leadership — gets VIEW ONLY access. Reconcile weekly, before the Ambassadors WhatsApp leaderboard update.</t>
  </si>
  <si>
    <t xml:space="preserve">Tabs in this workbook</t>
  </si>
  <si>
    <t xml:space="preserve">•  Referral Tracking — the master log. Every submission, both intake paths, one row each.</t>
  </si>
  <si>
    <t xml:space="preserve">•  Staff List — eligible Ambassadors, department, referral code. Feeds the Ambassador Name dropdown.</t>
  </si>
  <si>
    <t xml:space="preserve">•  Commission Rules — commission rate (1% of Booking/Deal Value) per product track, confirmed per the Phase-0 decision (see 02-quick-win-action-plan.md).</t>
  </si>
  <si>
    <t xml:space="preserve">•  Leaderboard — auto-computed per-Ambassador totals for the weekly WhatsApp broadcast.</t>
  </si>
  <si>
    <t xml:space="preserve">•  Summary Dashboard — headline programme numbers for the weekly pulse check and the Week-4 gate.</t>
  </si>
  <si>
    <t xml:space="preserve">Importing into Google Sheets</t>
  </si>
  <si>
    <t xml:space="preserve">•  Google Sheets opens .xlsx natively: Drive &gt; New &gt; File upload, then 'Open with Google Sheets' — or File &gt; Import &gt; Upload &gt; Replace/Insert. All formulas, dropdowns, and conditional formatting carry over.</t>
  </si>
  <si>
    <t xml:space="preserve">•  New rows added by a linked Google Form append below the sample data. Commercial Ops should copy the formula cells (Referral ID, Department, Commission Due) down into each new row, or ask the tech team later to convert them to ARRAYFORMULA once V1 proves out.</t>
  </si>
  <si>
    <t xml:space="preserve">Placeholders to replace before launch</t>
  </si>
  <si>
    <t xml:space="preserve">•  Staff List — replace the 10 sample employees with the real eligible-employee list from HR.</t>
  </si>
  <si>
    <t xml:space="preserve">•  Sample referral rows (rows 2-9 of Referral Tracking) are illustrative only — delete before go-live.</t>
  </si>
  <si>
    <t xml:space="preserve">Referral ID</t>
  </si>
  <si>
    <t xml:space="preserve">Timestamp</t>
  </si>
  <si>
    <t xml:space="preserve">Attribution Source</t>
  </si>
  <si>
    <t xml:space="preserve">Ambassador Name</t>
  </si>
  <si>
    <t xml:space="preserve">Department</t>
  </si>
  <si>
    <t xml:space="preserve">Referral Code Quoted</t>
  </si>
  <si>
    <t xml:space="preserve">Client Name</t>
  </si>
  <si>
    <t xml:space="preserve">Client Phone</t>
  </si>
  <si>
    <t xml:space="preserve">Client Email</t>
  </si>
  <si>
    <t xml:space="preserve">Product Track</t>
  </si>
  <si>
    <t xml:space="preserve">How Ambassador Knows Lead</t>
  </si>
  <si>
    <t xml:space="preserve">WhatsApp Evidence Link</t>
  </si>
  <si>
    <t xml:space="preserve">Validation Status</t>
  </si>
  <si>
    <t xml:space="preserve">Validation Date</t>
  </si>
  <si>
    <t xml:space="preserve">Assigned To</t>
  </si>
  <si>
    <t xml:space="preserve">Conversion Status</t>
  </si>
  <si>
    <t xml:space="preserve">Conversion Date</t>
  </si>
  <si>
    <t xml:space="preserve">Booking/Deal Value (EGP)</t>
  </si>
  <si>
    <t xml:space="preserve">Commission Due (EGP)</t>
  </si>
  <si>
    <t xml:space="preserve">Commission Paid</t>
  </si>
  <si>
    <t xml:space="preserve">Dispute Flag</t>
  </si>
  <si>
    <t xml:space="preserve">Notes</t>
  </si>
  <si>
    <t xml:space="preserve">2026-07-13 09:14</t>
  </si>
  <si>
    <t xml:space="preserve">Employee Pre-Submitted</t>
  </si>
  <si>
    <t xml:space="preserve">Aya Farouk</t>
  </si>
  <si>
    <t xml:space="preserve">NEST-AF-01</t>
  </si>
  <si>
    <t xml:space="preserve">Mostafa Kamal</t>
  </si>
  <si>
    <t xml:space="preserve">01012345678</t>
  </si>
  <si>
    <t xml:space="preserve">mostafa.k@example.com</t>
  </si>
  <si>
    <t xml:space="preserve">Sahel Reservation</t>
  </si>
  <si>
    <t xml:space="preserve">Childhood friend</t>
  </si>
  <si>
    <t xml:space="preserve">Valid</t>
  </si>
  <si>
    <t xml:space="preserve">2026-07-13</t>
  </si>
  <si>
    <t xml:space="preserve">Sales</t>
  </si>
  <si>
    <t xml:space="preserve">Booked-Paid</t>
  </si>
  <si>
    <t xml:space="preserve">2026-07-15</t>
  </si>
  <si>
    <t xml:space="preserve">Y</t>
  </si>
  <si>
    <t xml:space="preserve">N</t>
  </si>
  <si>
    <t xml:space="preserve">2026-07-13 11:02</t>
  </si>
  <si>
    <t xml:space="preserve">Client WhatsApp Form</t>
  </si>
  <si>
    <t xml:space="preserve">Yara Sami</t>
  </si>
  <si>
    <t xml:space="preserve">Nourhan Adel</t>
  </si>
  <si>
    <t xml:space="preserve">01098765432</t>
  </si>
  <si>
    <t xml:space="preserve">Furnishing Package</t>
  </si>
  <si>
    <t xml:space="preserve">Colleague at previous job</t>
  </si>
  <si>
    <t xml:space="preserve">drive.google.com/evidence/wa-0001</t>
  </si>
  <si>
    <t xml:space="preserve">CX</t>
  </si>
  <si>
    <t xml:space="preserve">In Progress</t>
  </si>
  <si>
    <t xml:space="preserve">2026-07-14 15:40</t>
  </si>
  <si>
    <t xml:space="preserve">Omar Hassan</t>
  </si>
  <si>
    <t xml:space="preserve">NEST-OH-01</t>
  </si>
  <si>
    <t xml:space="preserve">Sara Ibrahim</t>
  </si>
  <si>
    <t xml:space="preserve">01234567890</t>
  </si>
  <si>
    <t xml:space="preserve">sara.ib@example.com</t>
  </si>
  <si>
    <t xml:space="preserve">Neighbour</t>
  </si>
  <si>
    <t xml:space="preserve">Duplicate</t>
  </si>
  <si>
    <t xml:space="preserve">2026-07-14</t>
  </si>
  <si>
    <t xml:space="preserve">Lost</t>
  </si>
  <si>
    <t xml:space="preserve">2026-07-15 10:20</t>
  </si>
  <si>
    <t xml:space="preserve">Khaled Nabil</t>
  </si>
  <si>
    <t xml:space="preserve">01122334455</t>
  </si>
  <si>
    <t xml:space="preserve">khaled.n@example.com</t>
  </si>
  <si>
    <t xml:space="preserve">Gym friend</t>
  </si>
  <si>
    <t xml:space="preserve">drive.google.com/evidence/wa-0002</t>
  </si>
  <si>
    <t xml:space="preserve">2026-07-18</t>
  </si>
  <si>
    <t xml:space="preserve">2026-07-16 08:55</t>
  </si>
  <si>
    <t xml:space="preserve">Mariam Adel</t>
  </si>
  <si>
    <t xml:space="preserve">NEST-MA-01</t>
  </si>
  <si>
    <t xml:space="preserve">Hassan Tarek</t>
  </si>
  <si>
    <t xml:space="preserve">01055667788</t>
  </si>
  <si>
    <t xml:space="preserve">Cousin</t>
  </si>
  <si>
    <t xml:space="preserve">New</t>
  </si>
  <si>
    <t xml:space="preserve">2026-07-16 17:30</t>
  </si>
  <si>
    <t xml:space="preserve">Karim Youssef</t>
  </si>
  <si>
    <t xml:space="preserve">Dina Mahmoud</t>
  </si>
  <si>
    <t xml:space="preserve">01199887766</t>
  </si>
  <si>
    <t xml:space="preserve">dina.m@example.com</t>
  </si>
  <si>
    <t xml:space="preserve">University friend</t>
  </si>
  <si>
    <t xml:space="preserve">drive.google.com/evidence/wa-0003</t>
  </si>
  <si>
    <t xml:space="preserve">Invalid</t>
  </si>
  <si>
    <t xml:space="preserve">2026-07-17</t>
  </si>
  <si>
    <t xml:space="preserve">2026-07-17 12:11</t>
  </si>
  <si>
    <t xml:space="preserve">Nourhan Ali</t>
  </si>
  <si>
    <t xml:space="preserve">NEST-NA-01</t>
  </si>
  <si>
    <t xml:space="preserve">Ahmed Salah</t>
  </si>
  <si>
    <t xml:space="preserve">01277665544</t>
  </si>
  <si>
    <t xml:space="preserve">ahmed.s@example.com</t>
  </si>
  <si>
    <t xml:space="preserve">Brother-in-law</t>
  </si>
  <si>
    <t xml:space="preserve">2026-07-18 09:05</t>
  </si>
  <si>
    <t xml:space="preserve">Laila Fathy</t>
  </si>
  <si>
    <t xml:space="preserve">01033445566</t>
  </si>
  <si>
    <t xml:space="preserve">Sister</t>
  </si>
  <si>
    <t xml:space="preserve">drive.google.com/evidence/wa-0004</t>
  </si>
  <si>
    <t xml:space="preserve">2026-07-19</t>
  </si>
  <si>
    <t xml:space="preserve">Referral Code</t>
  </si>
  <si>
    <t xml:space="preserve">Eligible (Y/N)</t>
  </si>
  <si>
    <t xml:space="preserve">NEST-YS-01</t>
  </si>
  <si>
    <t xml:space="preserve">NEST-KY-01</t>
  </si>
  <si>
    <t xml:space="preserve">Marketing</t>
  </si>
  <si>
    <t xml:space="preserve">Hady Mostafa</t>
  </si>
  <si>
    <t xml:space="preserve">Commercial Ops</t>
  </si>
  <si>
    <t xml:space="preserve">NEST-HM-01</t>
  </si>
  <si>
    <t xml:space="preserve">Salma Reda</t>
  </si>
  <si>
    <t xml:space="preserve">NEST-SR-01</t>
  </si>
  <si>
    <t xml:space="preserve">Youssef Kamel</t>
  </si>
  <si>
    <t xml:space="preserve">Finance</t>
  </si>
  <si>
    <t xml:space="preserve">NEST-YK-01</t>
  </si>
  <si>
    <t xml:space="preserve">Nada Ashraf</t>
  </si>
  <si>
    <t xml:space="preserve">HR</t>
  </si>
  <si>
    <t xml:space="preserve">NEST-NA-02</t>
  </si>
  <si>
    <t xml:space="preserve">Replace with the authoritative eligible-employee list from HR before launch.</t>
  </si>
  <si>
    <t xml:space="preserve">Commission Rate (% of Booking/Deal Value)</t>
  </si>
  <si>
    <t xml:space="preserve">Status</t>
  </si>
  <si>
    <t xml:space="preserve">Confirmed — 1% of booking value (L1)</t>
  </si>
  <si>
    <t xml:space="preserve">Confirmed — 1% of deal value (L1)</t>
  </si>
  <si>
    <t xml:space="preserve">Source: confirmed rate — 1% of Booking/Deal Value, both tracks. Commission Due in Referral Tracking = Booking/Deal Value x this rate. Edit the rate cells above if leadership revises it; Commission Due recalculates automatically.</t>
  </si>
  <si>
    <t xml:space="preserve">Referrals Submitted</t>
  </si>
  <si>
    <t xml:space="preserve">Validated</t>
  </si>
  <si>
    <t xml:space="preserve">Converted</t>
  </si>
  <si>
    <t xml:space="preserve">Total Commission Earned (EGP)</t>
  </si>
  <si>
    <t xml:space="preserve">Sort this tab descending by 'Total Commission Earned' (Data &gt; Sort range) before each weekly WhatsApp leaderboard broadcast — dynamic SORT is intentionally not used so the sheet stays compatible with Excel/LibreOffice.</t>
  </si>
  <si>
    <t xml:space="preserve">Nest Ambassadors — Summary Dashboard</t>
  </si>
  <si>
    <t xml:space="preserve">Auto-computed from Referral Tracking — refresh by reopening the sheet</t>
  </si>
  <si>
    <t xml:space="preserve">Total Referrals</t>
  </si>
  <si>
    <t xml:space="preserve">Validated Referrals</t>
  </si>
  <si>
    <t xml:space="preserve">Validation Rate</t>
  </si>
  <si>
    <t xml:space="preserve">Converted (Booked-Paid)</t>
  </si>
  <si>
    <t xml:space="preserve">Conversion Rate (of Validated)</t>
  </si>
  <si>
    <t xml:space="preserve">Total Commission Paid (EGP)</t>
  </si>
  <si>
    <t xml:space="preserve">— By Attribution Source —</t>
  </si>
  <si>
    <t xml:space="preserve">— By Product Track —</t>
  </si>
</sst>
</file>

<file path=xl/styles.xml><?xml version="1.0" encoding="utf-8"?>
<styleSheet xmlns="http://schemas.openxmlformats.org/spreadsheetml/2006/main">
  <numFmts count="4">
    <numFmt numFmtId="164" formatCode="General"/>
    <numFmt numFmtId="165" formatCode="0.0%"/>
    <numFmt numFmtId="166" formatCode="#,##0&quot; EGP&quot;"/>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sz val="11"/>
      <color rgb="FF444444"/>
      <name val="Arial"/>
      <family val="0"/>
      <charset val="1"/>
    </font>
    <font>
      <b val="true"/>
      <sz val="12"/>
      <color rgb="FF1F4E5F"/>
      <name val="Arial"/>
      <family val="0"/>
      <charset val="1"/>
    </font>
    <font>
      <sz val="10"/>
      <name val="Arial"/>
      <family val="0"/>
      <charset val="1"/>
    </font>
    <font>
      <b val="true"/>
      <sz val="10"/>
      <color rgb="FFFFFFFF"/>
      <name val="Arial"/>
      <family val="0"/>
      <charset val="1"/>
    </font>
    <font>
      <sz val="10"/>
      <name val="Arial"/>
      <family val="2"/>
    </font>
    <font>
      <i val="true"/>
      <sz val="9"/>
      <color rgb="FF888888"/>
      <name val="Arial"/>
      <family val="0"/>
      <charset val="1"/>
    </font>
    <font>
      <sz val="10"/>
      <color rgb="FF0000FF"/>
      <name val="Arial"/>
      <family val="0"/>
      <charset val="1"/>
    </font>
    <font>
      <b val="true"/>
      <sz val="11"/>
      <name val="Arial"/>
      <family val="0"/>
      <charset val="1"/>
    </font>
    <font>
      <b val="true"/>
      <sz val="10"/>
      <color rgb="FF1F4E5F"/>
      <name val="Arial"/>
      <family val="0"/>
      <charset val="1"/>
    </font>
  </fonts>
  <fills count="4">
    <fill>
      <patternFill patternType="none"/>
    </fill>
    <fill>
      <patternFill patternType="gray125"/>
    </fill>
    <fill>
      <patternFill patternType="solid">
        <fgColor rgb="FF1F4E5F"/>
        <bgColor rgb="FF444444"/>
      </patternFill>
    </fill>
    <fill>
      <patternFill patternType="solid">
        <fgColor rgb="FFFFFF00"/>
        <bgColor rgb="FFFFFF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row>
    <row r="7" customFormat="false" ht="15" hidden="false" customHeight="false" outlineLevel="0" collapsed="false">
      <c r="A7" s="3" t="s">
        <v>4</v>
      </c>
    </row>
    <row r="8" customFormat="false" ht="30" hidden="false" customHeight="true" outlineLevel="0" collapsed="false">
      <c r="A8" s="4" t="s">
        <v>5</v>
      </c>
    </row>
    <row r="9" customFormat="false" ht="30" hidden="false" customHeight="true" outlineLevel="0" collapsed="false">
      <c r="A9" s="4" t="s">
        <v>6</v>
      </c>
    </row>
    <row r="10" customFormat="false" ht="30" hidden="false" customHeight="true" outlineLevel="0" collapsed="false">
      <c r="A10" s="4" t="s">
        <v>7</v>
      </c>
    </row>
    <row r="12" customFormat="false" ht="15" hidden="false" customHeight="false" outlineLevel="0" collapsed="false">
      <c r="A12" s="3" t="s">
        <v>8</v>
      </c>
    </row>
    <row r="13" customFormat="false" ht="30" hidden="false" customHeight="true" outlineLevel="0" collapsed="false">
      <c r="A13" s="4" t="s">
        <v>9</v>
      </c>
    </row>
    <row r="15" customFormat="false" ht="15" hidden="false" customHeight="false" outlineLevel="0" collapsed="false">
      <c r="A15" s="3" t="s">
        <v>10</v>
      </c>
    </row>
    <row r="16" customFormat="false" ht="30" hidden="false" customHeight="true" outlineLevel="0" collapsed="false">
      <c r="A16" s="4" t="s">
        <v>11</v>
      </c>
    </row>
    <row r="17" customFormat="false" ht="30" hidden="false" customHeight="true" outlineLevel="0" collapsed="false">
      <c r="A17" s="4" t="s">
        <v>12</v>
      </c>
    </row>
    <row r="18" customFormat="false" ht="30" hidden="false" customHeight="true" outlineLevel="0" collapsed="false">
      <c r="A18" s="4" t="s">
        <v>13</v>
      </c>
    </row>
    <row r="19" customFormat="false" ht="30" hidden="false" customHeight="true" outlineLevel="0" collapsed="false">
      <c r="A19" s="4" t="s">
        <v>14</v>
      </c>
    </row>
    <row r="20" customFormat="false" ht="30" hidden="false" customHeight="true" outlineLevel="0" collapsed="false">
      <c r="A20" s="4" t="s">
        <v>15</v>
      </c>
    </row>
    <row r="22" customFormat="false" ht="15" hidden="false" customHeight="false" outlineLevel="0" collapsed="false">
      <c r="A22" s="3" t="s">
        <v>16</v>
      </c>
    </row>
    <row r="23" customFormat="false" ht="30" hidden="false" customHeight="true" outlineLevel="0" collapsed="false">
      <c r="A23" s="4" t="s">
        <v>17</v>
      </c>
    </row>
    <row r="24" customFormat="false" ht="30" hidden="false" customHeight="true" outlineLevel="0" collapsed="false">
      <c r="A24" s="4" t="s">
        <v>18</v>
      </c>
    </row>
    <row r="26" customFormat="false" ht="15" hidden="false" customHeight="false" outlineLevel="0" collapsed="false">
      <c r="A26" s="3" t="s">
        <v>19</v>
      </c>
    </row>
    <row r="27" customFormat="false" ht="30" hidden="false" customHeight="true" outlineLevel="0" collapsed="false">
      <c r="A27" s="4" t="s">
        <v>20</v>
      </c>
    </row>
    <row r="28" customFormat="false" ht="30" hidden="false" customHeight="true" outlineLevel="0" collapsed="false">
      <c r="A28"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4" min="4" style="0" width="16"/>
    <col collapsed="false" customWidth="true" hidden="false" outlineLevel="0" max="5" min="5" style="0" width="14"/>
    <col collapsed="false" customWidth="true" hidden="false" outlineLevel="0" max="7" min="6" style="0" width="16"/>
    <col collapsed="false" customWidth="true" hidden="false" outlineLevel="0" max="8" min="8" style="0" width="14"/>
    <col collapsed="false" customWidth="true" hidden="false" outlineLevel="0" max="9" min="9" style="0" width="20"/>
    <col collapsed="false" customWidth="true" hidden="false" outlineLevel="0" max="10" min="10" style="0" width="18"/>
    <col collapsed="false" customWidth="true" hidden="false" outlineLevel="0" max="11" min="11" style="0" width="26"/>
    <col collapsed="false" customWidth="true" hidden="false" outlineLevel="0" max="12" min="12" style="0" width="24"/>
    <col collapsed="false" customWidth="true" hidden="false" outlineLevel="0" max="14" min="13" style="0" width="14"/>
    <col collapsed="false" customWidth="true" hidden="false" outlineLevel="0" max="15" min="15" style="0" width="12"/>
    <col collapsed="false" customWidth="true" hidden="false" outlineLevel="0" max="16" min="16" style="0" width="16"/>
    <col collapsed="false" customWidth="true" hidden="false" outlineLevel="0" max="17" min="17" style="0" width="14"/>
    <col collapsed="false" customWidth="true" hidden="false" outlineLevel="0" max="18" min="18" style="0" width="16"/>
    <col collapsed="false" customWidth="true" hidden="false" outlineLevel="0" max="20" min="19" style="0" width="14"/>
    <col collapsed="false" customWidth="true" hidden="false" outlineLevel="0" max="21" min="21" style="0" width="12"/>
    <col collapsed="false" customWidth="true" hidden="false" outlineLevel="0" max="22" min="22" style="0" width="26"/>
  </cols>
  <sheetData>
    <row r="1" customFormat="false" ht="33.75" hidden="false" customHeight="true" outlineLevel="0" collapsed="false">
      <c r="A1" s="5" t="s">
        <v>22</v>
      </c>
      <c r="B1" s="5" t="s">
        <v>23</v>
      </c>
      <c r="C1" s="5" t="s">
        <v>24</v>
      </c>
      <c r="D1" s="5" t="s">
        <v>25</v>
      </c>
      <c r="E1" s="5" t="s">
        <v>26</v>
      </c>
      <c r="F1" s="5" t="s">
        <v>27</v>
      </c>
      <c r="G1" s="5" t="s">
        <v>28</v>
      </c>
      <c r="H1" s="5" t="s">
        <v>29</v>
      </c>
      <c r="I1" s="5" t="s">
        <v>30</v>
      </c>
      <c r="J1" s="5" t="s">
        <v>31</v>
      </c>
      <c r="K1" s="5" t="s">
        <v>32</v>
      </c>
      <c r="L1" s="5" t="s">
        <v>33</v>
      </c>
      <c r="M1" s="5" t="s">
        <v>34</v>
      </c>
      <c r="N1" s="5" t="s">
        <v>35</v>
      </c>
      <c r="O1" s="5" t="s">
        <v>36</v>
      </c>
      <c r="P1" s="5" t="s">
        <v>37</v>
      </c>
      <c r="Q1" s="5" t="s">
        <v>38</v>
      </c>
      <c r="R1" s="5" t="s">
        <v>39</v>
      </c>
      <c r="S1" s="5" t="s">
        <v>40</v>
      </c>
      <c r="T1" s="5" t="s">
        <v>41</v>
      </c>
      <c r="U1" s="5" t="s">
        <v>42</v>
      </c>
      <c r="V1" s="5" t="s">
        <v>43</v>
      </c>
    </row>
    <row r="2" customFormat="false" ht="15" hidden="false" customHeight="false" outlineLevel="0" collapsed="false">
      <c r="A2" s="6" t="str">
        <f aca="false">CONCATENATE("REF-",TEXT(ROW()-1,"0000"))</f>
        <v>REF-0001</v>
      </c>
      <c r="B2" s="6" t="s">
        <v>44</v>
      </c>
      <c r="C2" s="6" t="s">
        <v>45</v>
      </c>
      <c r="D2" s="6" t="s">
        <v>46</v>
      </c>
      <c r="E2" s="6" t="str">
        <f aca="false">IFERROR(INDEX('Staff List'!$B$2:$B$11,MATCH(D2,'Staff List'!$A$2:$A$11,0)),"")</f>
        <v>Sales</v>
      </c>
      <c r="F2" s="6" t="s">
        <v>47</v>
      </c>
      <c r="G2" s="6" t="s">
        <v>48</v>
      </c>
      <c r="H2" s="6" t="s">
        <v>49</v>
      </c>
      <c r="I2" s="6" t="s">
        <v>50</v>
      </c>
      <c r="J2" s="6" t="s">
        <v>51</v>
      </c>
      <c r="K2" s="6" t="s">
        <v>52</v>
      </c>
      <c r="L2" s="6"/>
      <c r="M2" s="6" t="s">
        <v>53</v>
      </c>
      <c r="N2" s="6" t="s">
        <v>54</v>
      </c>
      <c r="O2" s="6" t="s">
        <v>55</v>
      </c>
      <c r="P2" s="6" t="s">
        <v>56</v>
      </c>
      <c r="Q2" s="6" t="s">
        <v>57</v>
      </c>
      <c r="R2" s="6" t="n">
        <v>185000</v>
      </c>
      <c r="S2" s="6" t="n">
        <f aca="false">IF(P2="Booked-Paid",IFERROR(R2*INDEX('Commission Rules'!$B$2:$B$3,MATCH(J2,'Commission Rules'!$A$2:$A$3,0)),""),"")</f>
        <v>1850</v>
      </c>
      <c r="T2" s="6" t="s">
        <v>58</v>
      </c>
      <c r="U2" s="6" t="s">
        <v>59</v>
      </c>
      <c r="V2" s="6"/>
    </row>
    <row r="3" customFormat="false" ht="15" hidden="false" customHeight="false" outlineLevel="0" collapsed="false">
      <c r="A3" s="6" t="str">
        <f aca="false">CONCATENATE("REF-",TEXT(ROW()-1,"0000"))</f>
        <v>REF-0002</v>
      </c>
      <c r="B3" s="6" t="s">
        <v>60</v>
      </c>
      <c r="C3" s="6" t="s">
        <v>61</v>
      </c>
      <c r="D3" s="6" t="s">
        <v>62</v>
      </c>
      <c r="E3" s="6" t="str">
        <f aca="false">IFERROR(INDEX('Staff List'!$B$2:$B$11,MATCH(D3,'Staff List'!$A$2:$A$11,0)),"")</f>
        <v>CX</v>
      </c>
      <c r="F3" s="6"/>
      <c r="G3" s="6" t="s">
        <v>63</v>
      </c>
      <c r="H3" s="6" t="s">
        <v>64</v>
      </c>
      <c r="I3" s="6"/>
      <c r="J3" s="6" t="s">
        <v>65</v>
      </c>
      <c r="K3" s="6" t="s">
        <v>66</v>
      </c>
      <c r="L3" s="6" t="s">
        <v>67</v>
      </c>
      <c r="M3" s="6" t="s">
        <v>53</v>
      </c>
      <c r="N3" s="6" t="s">
        <v>54</v>
      </c>
      <c r="O3" s="6" t="s">
        <v>68</v>
      </c>
      <c r="P3" s="6" t="s">
        <v>69</v>
      </c>
      <c r="Q3" s="6"/>
      <c r="R3" s="6"/>
      <c r="S3" s="6" t="str">
        <f aca="false">IF(P3="Booked-Paid",IFERROR(R3*INDEX('Commission Rules'!$B$2:$B$3,MATCH(J3,'Commission Rules'!$A$2:$A$3,0)),""),"")</f>
        <v/>
      </c>
      <c r="T3" s="6" t="s">
        <v>59</v>
      </c>
      <c r="U3" s="6" t="s">
        <v>59</v>
      </c>
      <c r="V3" s="6"/>
    </row>
    <row r="4" customFormat="false" ht="15" hidden="false" customHeight="false" outlineLevel="0" collapsed="false">
      <c r="A4" s="6" t="str">
        <f aca="false">CONCATENATE("REF-",TEXT(ROW()-1,"0000"))</f>
        <v>REF-0003</v>
      </c>
      <c r="B4" s="6" t="s">
        <v>70</v>
      </c>
      <c r="C4" s="6" t="s">
        <v>45</v>
      </c>
      <c r="D4" s="6" t="s">
        <v>71</v>
      </c>
      <c r="E4" s="6" t="str">
        <f aca="false">IFERROR(INDEX('Staff List'!$B$2:$B$11,MATCH(D4,'Staff List'!$A$2:$A$11,0)),"")</f>
        <v>Sales</v>
      </c>
      <c r="F4" s="6" t="s">
        <v>72</v>
      </c>
      <c r="G4" s="6" t="s">
        <v>73</v>
      </c>
      <c r="H4" s="6" t="s">
        <v>74</v>
      </c>
      <c r="I4" s="6" t="s">
        <v>75</v>
      </c>
      <c r="J4" s="6" t="s">
        <v>51</v>
      </c>
      <c r="K4" s="6" t="s">
        <v>76</v>
      </c>
      <c r="L4" s="6"/>
      <c r="M4" s="6" t="s">
        <v>77</v>
      </c>
      <c r="N4" s="6" t="s">
        <v>78</v>
      </c>
      <c r="O4" s="6" t="s">
        <v>55</v>
      </c>
      <c r="P4" s="6" t="s">
        <v>79</v>
      </c>
      <c r="Q4" s="6"/>
      <c r="R4" s="6"/>
      <c r="S4" s="6" t="str">
        <f aca="false">IF(P4="Booked-Paid",IFERROR(R4*INDEX('Commission Rules'!$B$2:$B$3,MATCH(J4,'Commission Rules'!$A$2:$A$3,0)),""),"")</f>
        <v/>
      </c>
      <c r="T4" s="6" t="s">
        <v>59</v>
      </c>
      <c r="U4" s="6" t="s">
        <v>58</v>
      </c>
      <c r="V4" s="6"/>
    </row>
    <row r="5" customFormat="false" ht="15" hidden="false" customHeight="false" outlineLevel="0" collapsed="false">
      <c r="A5" s="6" t="str">
        <f aca="false">CONCATENATE("REF-",TEXT(ROW()-1,"0000"))</f>
        <v>REF-0004</v>
      </c>
      <c r="B5" s="6" t="s">
        <v>80</v>
      </c>
      <c r="C5" s="6" t="s">
        <v>61</v>
      </c>
      <c r="D5" s="6" t="s">
        <v>46</v>
      </c>
      <c r="E5" s="6" t="str">
        <f aca="false">IFERROR(INDEX('Staff List'!$B$2:$B$11,MATCH(D5,'Staff List'!$A$2:$A$11,0)),"")</f>
        <v>Sales</v>
      </c>
      <c r="F5" s="6"/>
      <c r="G5" s="6" t="s">
        <v>81</v>
      </c>
      <c r="H5" s="6" t="s">
        <v>82</v>
      </c>
      <c r="I5" s="6" t="s">
        <v>83</v>
      </c>
      <c r="J5" s="6" t="s">
        <v>51</v>
      </c>
      <c r="K5" s="6" t="s">
        <v>84</v>
      </c>
      <c r="L5" s="6" t="s">
        <v>85</v>
      </c>
      <c r="M5" s="6" t="s">
        <v>53</v>
      </c>
      <c r="N5" s="6" t="s">
        <v>57</v>
      </c>
      <c r="O5" s="6" t="s">
        <v>55</v>
      </c>
      <c r="P5" s="6" t="s">
        <v>56</v>
      </c>
      <c r="Q5" s="6" t="s">
        <v>86</v>
      </c>
      <c r="R5" s="6" t="n">
        <v>210000</v>
      </c>
      <c r="S5" s="6" t="n">
        <f aca="false">IF(P5="Booked-Paid",IFERROR(R5*INDEX('Commission Rules'!$B$2:$B$3,MATCH(J5,'Commission Rules'!$A$2:$A$3,0)),""),"")</f>
        <v>2100</v>
      </c>
      <c r="T5" s="6" t="s">
        <v>58</v>
      </c>
      <c r="U5" s="6" t="s">
        <v>59</v>
      </c>
      <c r="V5" s="6"/>
    </row>
    <row r="6" customFormat="false" ht="15" hidden="false" customHeight="false" outlineLevel="0" collapsed="false">
      <c r="A6" s="6" t="str">
        <f aca="false">CONCATENATE("REF-",TEXT(ROW()-1,"0000"))</f>
        <v>REF-0005</v>
      </c>
      <c r="B6" s="6" t="s">
        <v>87</v>
      </c>
      <c r="C6" s="6" t="s">
        <v>45</v>
      </c>
      <c r="D6" s="6" t="s">
        <v>88</v>
      </c>
      <c r="E6" s="6" t="str">
        <f aca="false">IFERROR(INDEX('Staff List'!$B$2:$B$11,MATCH(D6,'Staff List'!$A$2:$A$11,0)),"")</f>
        <v>Marketing</v>
      </c>
      <c r="F6" s="6" t="s">
        <v>89</v>
      </c>
      <c r="G6" s="6" t="s">
        <v>90</v>
      </c>
      <c r="H6" s="6" t="s">
        <v>91</v>
      </c>
      <c r="I6" s="6"/>
      <c r="J6" s="6" t="s">
        <v>65</v>
      </c>
      <c r="K6" s="6" t="s">
        <v>92</v>
      </c>
      <c r="L6" s="6"/>
      <c r="M6" s="6" t="s">
        <v>93</v>
      </c>
      <c r="N6" s="6"/>
      <c r="O6" s="6"/>
      <c r="P6" s="6" t="s">
        <v>69</v>
      </c>
      <c r="Q6" s="6"/>
      <c r="R6" s="6"/>
      <c r="S6" s="6" t="str">
        <f aca="false">IF(P6="Booked-Paid",IFERROR(R6*INDEX('Commission Rules'!$B$2:$B$3,MATCH(J6,'Commission Rules'!$A$2:$A$3,0)),""),"")</f>
        <v/>
      </c>
      <c r="T6" s="6" t="s">
        <v>59</v>
      </c>
      <c r="U6" s="6" t="s">
        <v>59</v>
      </c>
      <c r="V6" s="6"/>
    </row>
    <row r="7" customFormat="false" ht="15" hidden="false" customHeight="false" outlineLevel="0" collapsed="false">
      <c r="A7" s="6" t="str">
        <f aca="false">CONCATENATE("REF-",TEXT(ROW()-1,"0000"))</f>
        <v>REF-0006</v>
      </c>
      <c r="B7" s="6" t="s">
        <v>94</v>
      </c>
      <c r="C7" s="6" t="s">
        <v>61</v>
      </c>
      <c r="D7" s="6" t="s">
        <v>95</v>
      </c>
      <c r="E7" s="6" t="str">
        <f aca="false">IFERROR(INDEX('Staff List'!$B$2:$B$11,MATCH(D7,'Staff List'!$A$2:$A$11,0)),"")</f>
        <v>CX</v>
      </c>
      <c r="F7" s="6"/>
      <c r="G7" s="6" t="s">
        <v>96</v>
      </c>
      <c r="H7" s="6" t="s">
        <v>97</v>
      </c>
      <c r="I7" s="6" t="s">
        <v>98</v>
      </c>
      <c r="J7" s="6" t="s">
        <v>51</v>
      </c>
      <c r="K7" s="6" t="s">
        <v>99</v>
      </c>
      <c r="L7" s="6" t="s">
        <v>100</v>
      </c>
      <c r="M7" s="6" t="s">
        <v>101</v>
      </c>
      <c r="N7" s="6" t="s">
        <v>102</v>
      </c>
      <c r="O7" s="6" t="s">
        <v>68</v>
      </c>
      <c r="P7" s="6" t="s">
        <v>79</v>
      </c>
      <c r="Q7" s="6"/>
      <c r="R7" s="6"/>
      <c r="S7" s="6" t="str">
        <f aca="false">IF(P7="Booked-Paid",IFERROR(R7*INDEX('Commission Rules'!$B$2:$B$3,MATCH(J7,'Commission Rules'!$A$2:$A$3,0)),""),"")</f>
        <v/>
      </c>
      <c r="T7" s="6" t="s">
        <v>59</v>
      </c>
      <c r="U7" s="6" t="s">
        <v>59</v>
      </c>
      <c r="V7" s="6"/>
    </row>
    <row r="8" customFormat="false" ht="15" hidden="false" customHeight="false" outlineLevel="0" collapsed="false">
      <c r="A8" s="6" t="str">
        <f aca="false">CONCATENATE("REF-",TEXT(ROW()-1,"0000"))</f>
        <v>REF-0007</v>
      </c>
      <c r="B8" s="6" t="s">
        <v>103</v>
      </c>
      <c r="C8" s="6" t="s">
        <v>45</v>
      </c>
      <c r="D8" s="6" t="s">
        <v>104</v>
      </c>
      <c r="E8" s="6" t="str">
        <f aca="false">IFERROR(INDEX('Staff List'!$B$2:$B$11,MATCH(D8,'Staff List'!$A$2:$A$11,0)),"")</f>
        <v>Marketing</v>
      </c>
      <c r="F8" s="6" t="s">
        <v>105</v>
      </c>
      <c r="G8" s="6" t="s">
        <v>106</v>
      </c>
      <c r="H8" s="6" t="s">
        <v>107</v>
      </c>
      <c r="I8" s="6" t="s">
        <v>108</v>
      </c>
      <c r="J8" s="6" t="s">
        <v>65</v>
      </c>
      <c r="K8" s="6" t="s">
        <v>109</v>
      </c>
      <c r="L8" s="6"/>
      <c r="M8" s="6" t="s">
        <v>53</v>
      </c>
      <c r="N8" s="6" t="s">
        <v>102</v>
      </c>
      <c r="O8" s="6" t="s">
        <v>55</v>
      </c>
      <c r="P8" s="6" t="s">
        <v>69</v>
      </c>
      <c r="Q8" s="6"/>
      <c r="R8" s="6"/>
      <c r="S8" s="6" t="str">
        <f aca="false">IF(P8="Booked-Paid",IFERROR(R8*INDEX('Commission Rules'!$B$2:$B$3,MATCH(J8,'Commission Rules'!$A$2:$A$3,0)),""),"")</f>
        <v/>
      </c>
      <c r="T8" s="6" t="s">
        <v>59</v>
      </c>
      <c r="U8" s="6" t="s">
        <v>59</v>
      </c>
      <c r="V8" s="6"/>
    </row>
    <row r="9" customFormat="false" ht="15" hidden="false" customHeight="false" outlineLevel="0" collapsed="false">
      <c r="A9" s="6" t="str">
        <f aca="false">CONCATENATE("REF-",TEXT(ROW()-1,"0000"))</f>
        <v>REF-0008</v>
      </c>
      <c r="B9" s="6" t="s">
        <v>110</v>
      </c>
      <c r="C9" s="6" t="s">
        <v>61</v>
      </c>
      <c r="D9" s="6" t="s">
        <v>46</v>
      </c>
      <c r="E9" s="6" t="str">
        <f aca="false">IFERROR(INDEX('Staff List'!$B$2:$B$11,MATCH(D9,'Staff List'!$A$2:$A$11,0)),"")</f>
        <v>Sales</v>
      </c>
      <c r="F9" s="6"/>
      <c r="G9" s="6" t="s">
        <v>111</v>
      </c>
      <c r="H9" s="6" t="s">
        <v>112</v>
      </c>
      <c r="I9" s="6"/>
      <c r="J9" s="6" t="s">
        <v>51</v>
      </c>
      <c r="K9" s="6" t="s">
        <v>113</v>
      </c>
      <c r="L9" s="6" t="s">
        <v>114</v>
      </c>
      <c r="M9" s="6" t="s">
        <v>53</v>
      </c>
      <c r="N9" s="6" t="s">
        <v>86</v>
      </c>
      <c r="O9" s="6" t="s">
        <v>55</v>
      </c>
      <c r="P9" s="6" t="s">
        <v>56</v>
      </c>
      <c r="Q9" s="6" t="s">
        <v>115</v>
      </c>
      <c r="R9" s="6" t="n">
        <v>195000</v>
      </c>
      <c r="S9" s="6" t="n">
        <f aca="false">IF(P9="Booked-Paid",IFERROR(R9*INDEX('Commission Rules'!$B$2:$B$3,MATCH(J9,'Commission Rules'!$A$2:$A$3,0)),""),"")</f>
        <v>1950</v>
      </c>
      <c r="T9" s="6" t="s">
        <v>58</v>
      </c>
      <c r="U9" s="6" t="s">
        <v>59</v>
      </c>
      <c r="V9" s="6"/>
    </row>
  </sheetData>
  <conditionalFormatting sqref="M2:M500">
    <cfRule type="cellIs" priority="2" operator="equal" aboveAverage="0" equalAverage="0" bottom="0" percent="0" rank="0" text="" dxfId="0">
      <formula>"Valid"</formula>
    </cfRule>
    <cfRule type="cellIs" priority="3" operator="equal" aboveAverage="0" equalAverage="0" bottom="0" percent="0" rank="0" text="" dxfId="1">
      <formula>"Invalid"</formula>
    </cfRule>
    <cfRule type="cellIs" priority="4" operator="equal" aboveAverage="0" equalAverage="0" bottom="0" percent="0" rank="0" text="" dxfId="2">
      <formula>"New"</formula>
    </cfRule>
    <cfRule type="cellIs" priority="5" operator="equal" aboveAverage="0" equalAverage="0" bottom="0" percent="0" rank="0" text="" dxfId="2">
      <formula>"Duplicate"</formula>
    </cfRule>
  </conditionalFormatting>
  <conditionalFormatting sqref="P2:P500">
    <cfRule type="cellIs" priority="6" operator="equal" aboveAverage="0" equalAverage="0" bottom="0" percent="0" rank="0" text="" dxfId="0">
      <formula>"Booked-Paid"</formula>
    </cfRule>
    <cfRule type="cellIs" priority="7" operator="equal" aboveAverage="0" equalAverage="0" bottom="0" percent="0" rank="0" text="" dxfId="1">
      <formula>"Lost"</formula>
    </cfRule>
    <cfRule type="cellIs" priority="8" operator="equal" aboveAverage="0" equalAverage="0" bottom="0" percent="0" rank="0" text="" dxfId="2">
      <formula>"In Progress"</formula>
    </cfRule>
  </conditionalFormatting>
  <dataValidations count="8">
    <dataValidation allowBlank="true" errorStyle="stop" operator="between" showDropDown="false" showErrorMessage="false" showInputMessage="false" sqref="C2:C500" type="list">
      <formula1>"Employee Pre-Submitted,Client WhatsApp Form"</formula1>
      <formula2>0</formula2>
    </dataValidation>
    <dataValidation allowBlank="true" errorStyle="stop" operator="between" showDropDown="false" showErrorMessage="false" showInputMessage="false" sqref="D2:D500" type="list">
      <formula1>'Staff List'!$A$2:$A$11</formula1>
      <formula2>0</formula2>
    </dataValidation>
    <dataValidation allowBlank="true" errorStyle="stop" operator="between" showDropDown="false" showErrorMessage="false" showInputMessage="false" sqref="J2:J500" type="list">
      <formula1>"Sahel Reservation,Furnishing Package"</formula1>
      <formula2>0</formula2>
    </dataValidation>
    <dataValidation allowBlank="true" errorStyle="stop" operator="between" showDropDown="false" showErrorMessage="false" showInputMessage="false" sqref="M2:M500" type="list">
      <formula1>"New,Duplicate,Invalid,Valid"</formula1>
      <formula2>0</formula2>
    </dataValidation>
    <dataValidation allowBlank="true" errorStyle="stop" operator="between" showDropDown="false" showErrorMessage="false" showInputMessage="false" sqref="O2:O500" type="list">
      <formula1>"Sales,CX"</formula1>
      <formula2>0</formula2>
    </dataValidation>
    <dataValidation allowBlank="true" errorStyle="stop" operator="between" showDropDown="false" showErrorMessage="false" showInputMessage="false" sqref="P2:P500" type="list">
      <formula1>"In Progress,Booked-Paid,Lost"</formula1>
      <formula2>0</formula2>
    </dataValidation>
    <dataValidation allowBlank="true" errorStyle="stop" operator="between" showDropDown="false" showErrorMessage="false" showInputMessage="false" sqref="T2:T500" type="list">
      <formula1>"Y,N"</formula1>
      <formula2>0</formula2>
    </dataValidation>
    <dataValidation allowBlank="true" errorStyle="stop" operator="between" showDropDown="false" showErrorMessage="false" showInputMessage="false" sqref="U2:U50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20"/>
    <col collapsed="false" customWidth="true" hidden="false" outlineLevel="0" max="3" min="3" style="0" width="18"/>
    <col collapsed="false" customWidth="true" hidden="false" outlineLevel="0" max="4" min="4" style="0" width="14"/>
  </cols>
  <sheetData>
    <row r="1" customFormat="false" ht="33.75" hidden="false" customHeight="true" outlineLevel="0" collapsed="false">
      <c r="A1" s="5" t="s">
        <v>25</v>
      </c>
      <c r="B1" s="5" t="s">
        <v>26</v>
      </c>
      <c r="C1" s="5" t="s">
        <v>116</v>
      </c>
      <c r="D1" s="5" t="s">
        <v>117</v>
      </c>
    </row>
    <row r="2" customFormat="false" ht="15" hidden="false" customHeight="false" outlineLevel="0" collapsed="false">
      <c r="A2" s="6" t="s">
        <v>46</v>
      </c>
      <c r="B2" s="6" t="s">
        <v>55</v>
      </c>
      <c r="C2" s="6" t="s">
        <v>47</v>
      </c>
      <c r="D2" s="6" t="s">
        <v>58</v>
      </c>
    </row>
    <row r="3" customFormat="false" ht="15" hidden="false" customHeight="false" outlineLevel="0" collapsed="false">
      <c r="A3" s="6" t="s">
        <v>71</v>
      </c>
      <c r="B3" s="6" t="s">
        <v>55</v>
      </c>
      <c r="C3" s="6" t="s">
        <v>72</v>
      </c>
      <c r="D3" s="6" t="s">
        <v>58</v>
      </c>
    </row>
    <row r="4" customFormat="false" ht="15" hidden="false" customHeight="false" outlineLevel="0" collapsed="false">
      <c r="A4" s="6" t="s">
        <v>62</v>
      </c>
      <c r="B4" s="6" t="s">
        <v>68</v>
      </c>
      <c r="C4" s="6" t="s">
        <v>118</v>
      </c>
      <c r="D4" s="6" t="s">
        <v>58</v>
      </c>
    </row>
    <row r="5" customFormat="false" ht="15" hidden="false" customHeight="false" outlineLevel="0" collapsed="false">
      <c r="A5" s="6" t="s">
        <v>95</v>
      </c>
      <c r="B5" s="6" t="s">
        <v>68</v>
      </c>
      <c r="C5" s="6" t="s">
        <v>119</v>
      </c>
      <c r="D5" s="6" t="s">
        <v>58</v>
      </c>
    </row>
    <row r="6" customFormat="false" ht="15" hidden="false" customHeight="false" outlineLevel="0" collapsed="false">
      <c r="A6" s="6" t="s">
        <v>88</v>
      </c>
      <c r="B6" s="6" t="s">
        <v>120</v>
      </c>
      <c r="C6" s="6" t="s">
        <v>89</v>
      </c>
      <c r="D6" s="6" t="s">
        <v>58</v>
      </c>
    </row>
    <row r="7" customFormat="false" ht="15" hidden="false" customHeight="false" outlineLevel="0" collapsed="false">
      <c r="A7" s="6" t="s">
        <v>104</v>
      </c>
      <c r="B7" s="6" t="s">
        <v>120</v>
      </c>
      <c r="C7" s="6" t="s">
        <v>105</v>
      </c>
      <c r="D7" s="6" t="s">
        <v>58</v>
      </c>
    </row>
    <row r="8" customFormat="false" ht="15" hidden="false" customHeight="false" outlineLevel="0" collapsed="false">
      <c r="A8" s="6" t="s">
        <v>121</v>
      </c>
      <c r="B8" s="6" t="s">
        <v>122</v>
      </c>
      <c r="C8" s="6" t="s">
        <v>123</v>
      </c>
      <c r="D8" s="6" t="s">
        <v>58</v>
      </c>
    </row>
    <row r="9" customFormat="false" ht="15" hidden="false" customHeight="false" outlineLevel="0" collapsed="false">
      <c r="A9" s="6" t="s">
        <v>124</v>
      </c>
      <c r="B9" s="6" t="s">
        <v>122</v>
      </c>
      <c r="C9" s="6" t="s">
        <v>125</v>
      </c>
      <c r="D9" s="6" t="s">
        <v>58</v>
      </c>
    </row>
    <row r="10" customFormat="false" ht="15" hidden="false" customHeight="false" outlineLevel="0" collapsed="false">
      <c r="A10" s="6" t="s">
        <v>126</v>
      </c>
      <c r="B10" s="6" t="s">
        <v>127</v>
      </c>
      <c r="C10" s="6" t="s">
        <v>128</v>
      </c>
      <c r="D10" s="6" t="s">
        <v>58</v>
      </c>
    </row>
    <row r="11" customFormat="false" ht="15" hidden="false" customHeight="false" outlineLevel="0" collapsed="false">
      <c r="A11" s="6" t="s">
        <v>129</v>
      </c>
      <c r="B11" s="6" t="s">
        <v>130</v>
      </c>
      <c r="C11" s="6" t="s">
        <v>131</v>
      </c>
      <c r="D11" s="6" t="s">
        <v>58</v>
      </c>
    </row>
    <row r="13" customFormat="false" ht="15" hidden="false" customHeight="false" outlineLevel="0" collapsed="false">
      <c r="A13" s="7"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34"/>
  </cols>
  <sheetData>
    <row r="1" customFormat="false" ht="33.75" hidden="false" customHeight="true" outlineLevel="0" collapsed="false">
      <c r="A1" s="5" t="s">
        <v>31</v>
      </c>
      <c r="B1" s="5" t="s">
        <v>133</v>
      </c>
      <c r="C1" s="5" t="s">
        <v>134</v>
      </c>
    </row>
    <row r="2" customFormat="false" ht="15" hidden="false" customHeight="false" outlineLevel="0" collapsed="false">
      <c r="A2" s="6" t="s">
        <v>51</v>
      </c>
      <c r="B2" s="8" t="n">
        <v>0.01</v>
      </c>
      <c r="C2" s="9" t="s">
        <v>135</v>
      </c>
    </row>
    <row r="3" customFormat="false" ht="15" hidden="false" customHeight="false" outlineLevel="0" collapsed="false">
      <c r="A3" s="6" t="s">
        <v>65</v>
      </c>
      <c r="B3" s="8" t="n">
        <v>0.01</v>
      </c>
      <c r="C3" s="9" t="s">
        <v>136</v>
      </c>
    </row>
    <row r="5" customFormat="false" ht="45" hidden="false" customHeight="true" outlineLevel="0" collapsed="false">
      <c r="A5" s="10" t="s">
        <v>137</v>
      </c>
      <c r="B5" s="10"/>
      <c r="C5" s="10"/>
    </row>
  </sheetData>
  <mergeCells count="1">
    <mergeCell ref="A5:C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3" min="2" style="0" width="18"/>
    <col collapsed="false" customWidth="true" hidden="false" outlineLevel="0" max="5" min="4" style="0" width="12"/>
    <col collapsed="false" customWidth="true" hidden="false" outlineLevel="0" max="6" min="6" style="0" width="24"/>
  </cols>
  <sheetData>
    <row r="1" customFormat="false" ht="33.75" hidden="false" customHeight="true" outlineLevel="0" collapsed="false">
      <c r="A1" s="5" t="s">
        <v>25</v>
      </c>
      <c r="B1" s="5" t="s">
        <v>26</v>
      </c>
      <c r="C1" s="5" t="s">
        <v>138</v>
      </c>
      <c r="D1" s="5" t="s">
        <v>139</v>
      </c>
      <c r="E1" s="5" t="s">
        <v>140</v>
      </c>
      <c r="F1" s="5" t="s">
        <v>141</v>
      </c>
    </row>
    <row r="2" customFormat="false" ht="15" hidden="false" customHeight="false" outlineLevel="0" collapsed="false">
      <c r="A2" s="6" t="str">
        <f aca="false">'Staff List'!A2</f>
        <v>Aya Farouk</v>
      </c>
      <c r="B2" s="6" t="str">
        <f aca="false">'Staff List'!B2</f>
        <v>Sales</v>
      </c>
      <c r="C2" s="6" t="n">
        <f aca="false">COUNTIF('Referral Tracking'!$D$2:$D$500,A2)</f>
        <v>3</v>
      </c>
      <c r="D2" s="6" t="n">
        <f aca="false">COUNTIFS('Referral Tracking'!$D$2:$D$500,A2,'Referral Tracking'!$M$2:$M$500,"Valid")</f>
        <v>3</v>
      </c>
      <c r="E2" s="6" t="n">
        <f aca="false">COUNTIFS('Referral Tracking'!$D$2:$D$500,A2,'Referral Tracking'!$P$2:$P$500,"Booked-Paid")</f>
        <v>3</v>
      </c>
      <c r="F2" s="11" t="n">
        <f aca="false">SUMIFS('Referral Tracking'!$S$2:$S$500,'Referral Tracking'!$D$2:$D$500,A2)</f>
        <v>5900</v>
      </c>
    </row>
    <row r="3" customFormat="false" ht="15" hidden="false" customHeight="false" outlineLevel="0" collapsed="false">
      <c r="A3" s="6" t="str">
        <f aca="false">'Staff List'!A3</f>
        <v>Omar Hassan</v>
      </c>
      <c r="B3" s="6" t="str">
        <f aca="false">'Staff List'!B3</f>
        <v>Sales</v>
      </c>
      <c r="C3" s="6" t="n">
        <f aca="false">COUNTIF('Referral Tracking'!$D$2:$D$500,A3)</f>
        <v>1</v>
      </c>
      <c r="D3" s="6" t="n">
        <f aca="false">COUNTIFS('Referral Tracking'!$D$2:$D$500,A3,'Referral Tracking'!$M$2:$M$500,"Valid")</f>
        <v>0</v>
      </c>
      <c r="E3" s="6" t="n">
        <f aca="false">COUNTIFS('Referral Tracking'!$D$2:$D$500,A3,'Referral Tracking'!$P$2:$P$500,"Booked-Paid")</f>
        <v>0</v>
      </c>
      <c r="F3" s="11" t="n">
        <f aca="false">SUMIFS('Referral Tracking'!$S$2:$S$500,'Referral Tracking'!$D$2:$D$500,A3)</f>
        <v>0</v>
      </c>
    </row>
    <row r="4" customFormat="false" ht="15" hidden="false" customHeight="false" outlineLevel="0" collapsed="false">
      <c r="A4" s="6" t="str">
        <f aca="false">'Staff List'!A4</f>
        <v>Yara Sami</v>
      </c>
      <c r="B4" s="6" t="str">
        <f aca="false">'Staff List'!B4</f>
        <v>CX</v>
      </c>
      <c r="C4" s="6" t="n">
        <f aca="false">COUNTIF('Referral Tracking'!$D$2:$D$500,A4)</f>
        <v>1</v>
      </c>
      <c r="D4" s="6" t="n">
        <f aca="false">COUNTIFS('Referral Tracking'!$D$2:$D$500,A4,'Referral Tracking'!$M$2:$M$500,"Valid")</f>
        <v>1</v>
      </c>
      <c r="E4" s="6" t="n">
        <f aca="false">COUNTIFS('Referral Tracking'!$D$2:$D$500,A4,'Referral Tracking'!$P$2:$P$500,"Booked-Paid")</f>
        <v>0</v>
      </c>
      <c r="F4" s="11" t="n">
        <f aca="false">SUMIFS('Referral Tracking'!$S$2:$S$500,'Referral Tracking'!$D$2:$D$500,A4)</f>
        <v>0</v>
      </c>
    </row>
    <row r="5" customFormat="false" ht="15" hidden="false" customHeight="false" outlineLevel="0" collapsed="false">
      <c r="A5" s="6" t="str">
        <f aca="false">'Staff List'!A5</f>
        <v>Karim Youssef</v>
      </c>
      <c r="B5" s="6" t="str">
        <f aca="false">'Staff List'!B5</f>
        <v>CX</v>
      </c>
      <c r="C5" s="6" t="n">
        <f aca="false">COUNTIF('Referral Tracking'!$D$2:$D$500,A5)</f>
        <v>1</v>
      </c>
      <c r="D5" s="6" t="n">
        <f aca="false">COUNTIFS('Referral Tracking'!$D$2:$D$500,A5,'Referral Tracking'!$M$2:$M$500,"Valid")</f>
        <v>0</v>
      </c>
      <c r="E5" s="6" t="n">
        <f aca="false">COUNTIFS('Referral Tracking'!$D$2:$D$500,A5,'Referral Tracking'!$P$2:$P$500,"Booked-Paid")</f>
        <v>0</v>
      </c>
      <c r="F5" s="11" t="n">
        <f aca="false">SUMIFS('Referral Tracking'!$S$2:$S$500,'Referral Tracking'!$D$2:$D$500,A5)</f>
        <v>0</v>
      </c>
    </row>
    <row r="6" customFormat="false" ht="15" hidden="false" customHeight="false" outlineLevel="0" collapsed="false">
      <c r="A6" s="6" t="str">
        <f aca="false">'Staff List'!A6</f>
        <v>Mariam Adel</v>
      </c>
      <c r="B6" s="6" t="str">
        <f aca="false">'Staff List'!B6</f>
        <v>Marketing</v>
      </c>
      <c r="C6" s="6" t="n">
        <f aca="false">COUNTIF('Referral Tracking'!$D$2:$D$500,A6)</f>
        <v>1</v>
      </c>
      <c r="D6" s="6" t="n">
        <f aca="false">COUNTIFS('Referral Tracking'!$D$2:$D$500,A6,'Referral Tracking'!$M$2:$M$500,"Valid")</f>
        <v>0</v>
      </c>
      <c r="E6" s="6" t="n">
        <f aca="false">COUNTIFS('Referral Tracking'!$D$2:$D$500,A6,'Referral Tracking'!$P$2:$P$500,"Booked-Paid")</f>
        <v>0</v>
      </c>
      <c r="F6" s="11" t="n">
        <f aca="false">SUMIFS('Referral Tracking'!$S$2:$S$500,'Referral Tracking'!$D$2:$D$500,A6)</f>
        <v>0</v>
      </c>
    </row>
    <row r="7" customFormat="false" ht="15" hidden="false" customHeight="false" outlineLevel="0" collapsed="false">
      <c r="A7" s="6" t="str">
        <f aca="false">'Staff List'!A7</f>
        <v>Nourhan Ali</v>
      </c>
      <c r="B7" s="6" t="str">
        <f aca="false">'Staff List'!B7</f>
        <v>Marketing</v>
      </c>
      <c r="C7" s="6" t="n">
        <f aca="false">COUNTIF('Referral Tracking'!$D$2:$D$500,A7)</f>
        <v>1</v>
      </c>
      <c r="D7" s="6" t="n">
        <f aca="false">COUNTIFS('Referral Tracking'!$D$2:$D$500,A7,'Referral Tracking'!$M$2:$M$500,"Valid")</f>
        <v>1</v>
      </c>
      <c r="E7" s="6" t="n">
        <f aca="false">COUNTIFS('Referral Tracking'!$D$2:$D$500,A7,'Referral Tracking'!$P$2:$P$500,"Booked-Paid")</f>
        <v>0</v>
      </c>
      <c r="F7" s="11" t="n">
        <f aca="false">SUMIFS('Referral Tracking'!$S$2:$S$500,'Referral Tracking'!$D$2:$D$500,A7)</f>
        <v>0</v>
      </c>
    </row>
    <row r="8" customFormat="false" ht="15" hidden="false" customHeight="false" outlineLevel="0" collapsed="false">
      <c r="A8" s="6" t="str">
        <f aca="false">'Staff List'!A8</f>
        <v>Hady Mostafa</v>
      </c>
      <c r="B8" s="6" t="str">
        <f aca="false">'Staff List'!B8</f>
        <v>Commercial Ops</v>
      </c>
      <c r="C8" s="6" t="n">
        <f aca="false">COUNTIF('Referral Tracking'!$D$2:$D$500,A8)</f>
        <v>0</v>
      </c>
      <c r="D8" s="6" t="n">
        <f aca="false">COUNTIFS('Referral Tracking'!$D$2:$D$500,A8,'Referral Tracking'!$M$2:$M$500,"Valid")</f>
        <v>0</v>
      </c>
      <c r="E8" s="6" t="n">
        <f aca="false">COUNTIFS('Referral Tracking'!$D$2:$D$500,A8,'Referral Tracking'!$P$2:$P$500,"Booked-Paid")</f>
        <v>0</v>
      </c>
      <c r="F8" s="11" t="n">
        <f aca="false">SUMIFS('Referral Tracking'!$S$2:$S$500,'Referral Tracking'!$D$2:$D$500,A8)</f>
        <v>0</v>
      </c>
    </row>
    <row r="9" customFormat="false" ht="15" hidden="false" customHeight="false" outlineLevel="0" collapsed="false">
      <c r="A9" s="6" t="str">
        <f aca="false">'Staff List'!A9</f>
        <v>Salma Reda</v>
      </c>
      <c r="B9" s="6" t="str">
        <f aca="false">'Staff List'!B9</f>
        <v>Commercial Ops</v>
      </c>
      <c r="C9" s="6" t="n">
        <f aca="false">COUNTIF('Referral Tracking'!$D$2:$D$500,A9)</f>
        <v>0</v>
      </c>
      <c r="D9" s="6" t="n">
        <f aca="false">COUNTIFS('Referral Tracking'!$D$2:$D$500,A9,'Referral Tracking'!$M$2:$M$500,"Valid")</f>
        <v>0</v>
      </c>
      <c r="E9" s="6" t="n">
        <f aca="false">COUNTIFS('Referral Tracking'!$D$2:$D$500,A9,'Referral Tracking'!$P$2:$P$500,"Booked-Paid")</f>
        <v>0</v>
      </c>
      <c r="F9" s="11" t="n">
        <f aca="false">SUMIFS('Referral Tracking'!$S$2:$S$500,'Referral Tracking'!$D$2:$D$500,A9)</f>
        <v>0</v>
      </c>
    </row>
    <row r="10" customFormat="false" ht="15" hidden="false" customHeight="false" outlineLevel="0" collapsed="false">
      <c r="A10" s="6" t="str">
        <f aca="false">'Staff List'!A10</f>
        <v>Youssef Kamel</v>
      </c>
      <c r="B10" s="6" t="str">
        <f aca="false">'Staff List'!B10</f>
        <v>Finance</v>
      </c>
      <c r="C10" s="6" t="n">
        <f aca="false">COUNTIF('Referral Tracking'!$D$2:$D$500,A10)</f>
        <v>0</v>
      </c>
      <c r="D10" s="6" t="n">
        <f aca="false">COUNTIFS('Referral Tracking'!$D$2:$D$500,A10,'Referral Tracking'!$M$2:$M$500,"Valid")</f>
        <v>0</v>
      </c>
      <c r="E10" s="6" t="n">
        <f aca="false">COUNTIFS('Referral Tracking'!$D$2:$D$500,A10,'Referral Tracking'!$P$2:$P$500,"Booked-Paid")</f>
        <v>0</v>
      </c>
      <c r="F10" s="11" t="n">
        <f aca="false">SUMIFS('Referral Tracking'!$S$2:$S$500,'Referral Tracking'!$D$2:$D$500,A10)</f>
        <v>0</v>
      </c>
    </row>
    <row r="11" customFormat="false" ht="15" hidden="false" customHeight="false" outlineLevel="0" collapsed="false">
      <c r="A11" s="6" t="str">
        <f aca="false">'Staff List'!A11</f>
        <v>Nada Ashraf</v>
      </c>
      <c r="B11" s="6" t="str">
        <f aca="false">'Staff List'!B11</f>
        <v>HR</v>
      </c>
      <c r="C11" s="6" t="n">
        <f aca="false">COUNTIF('Referral Tracking'!$D$2:$D$500,A11)</f>
        <v>0</v>
      </c>
      <c r="D11" s="6" t="n">
        <f aca="false">COUNTIFS('Referral Tracking'!$D$2:$D$500,A11,'Referral Tracking'!$M$2:$M$500,"Valid")</f>
        <v>0</v>
      </c>
      <c r="E11" s="6" t="n">
        <f aca="false">COUNTIFS('Referral Tracking'!$D$2:$D$500,A11,'Referral Tracking'!$P$2:$P$500,"Booked-Paid")</f>
        <v>0</v>
      </c>
      <c r="F11" s="11" t="n">
        <f aca="false">SUMIFS('Referral Tracking'!$S$2:$S$500,'Referral Tracking'!$D$2:$D$500,A11)</f>
        <v>0</v>
      </c>
    </row>
    <row r="13" customFormat="false" ht="30" hidden="false" customHeight="true" outlineLevel="0" collapsed="false">
      <c r="A13" s="10" t="s">
        <v>142</v>
      </c>
      <c r="B13" s="10"/>
      <c r="C13" s="10"/>
      <c r="D13" s="10"/>
      <c r="E13" s="10"/>
      <c r="F13" s="10"/>
    </row>
  </sheetData>
  <mergeCells count="1">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8"/>
  </cols>
  <sheetData>
    <row r="1" customFormat="false" ht="19.7" hidden="false" customHeight="false" outlineLevel="0" collapsed="false">
      <c r="A1" s="12" t="s">
        <v>143</v>
      </c>
      <c r="B1" s="12"/>
    </row>
    <row r="2" customFormat="false" ht="15" hidden="false" customHeight="false" outlineLevel="0" collapsed="false">
      <c r="A2" s="13" t="s">
        <v>144</v>
      </c>
      <c r="B2" s="13"/>
    </row>
    <row r="4" customFormat="false" ht="15" hidden="false" customHeight="false" outlineLevel="0" collapsed="false">
      <c r="A4" s="14" t="s">
        <v>145</v>
      </c>
      <c r="B4" s="15" t="n">
        <f aca="false">COUNTIF('Referral Tracking'!$C$2:$C$500,"&lt;&gt;")</f>
        <v>8</v>
      </c>
    </row>
    <row r="5" customFormat="false" ht="15" hidden="false" customHeight="false" outlineLevel="0" collapsed="false">
      <c r="A5" s="14" t="s">
        <v>146</v>
      </c>
      <c r="B5" s="15" t="n">
        <f aca="false">COUNTIF('Referral Tracking'!$M$2:$M$500,"Valid")</f>
        <v>5</v>
      </c>
    </row>
    <row r="6" customFormat="false" ht="15" hidden="false" customHeight="false" outlineLevel="0" collapsed="false">
      <c r="A6" s="14" t="s">
        <v>147</v>
      </c>
      <c r="B6" s="16" t="n">
        <f aca="false">IFERROR(B5/B4,"")</f>
        <v>0.625</v>
      </c>
    </row>
    <row r="7" customFormat="false" ht="15" hidden="false" customHeight="false" outlineLevel="0" collapsed="false">
      <c r="A7" s="14" t="s">
        <v>148</v>
      </c>
      <c r="B7" s="15" t="n">
        <f aca="false">COUNTIF('Referral Tracking'!$P$2:$P$500,"Booked-Paid")</f>
        <v>3</v>
      </c>
    </row>
    <row r="8" customFormat="false" ht="15" hidden="false" customHeight="false" outlineLevel="0" collapsed="false">
      <c r="A8" s="14" t="s">
        <v>149</v>
      </c>
      <c r="B8" s="16" t="n">
        <f aca="false">IFERROR(B7/B5,"")</f>
        <v>0.6</v>
      </c>
    </row>
    <row r="9" customFormat="false" ht="15" hidden="false" customHeight="false" outlineLevel="0" collapsed="false">
      <c r="A9" s="14" t="s">
        <v>150</v>
      </c>
      <c r="B9" s="17" t="n">
        <f aca="false">SUMIF('Referral Tracking'!$T$2:$T$500,"Y",'Referral Tracking'!$S$2:$S$500)</f>
        <v>5900</v>
      </c>
    </row>
    <row r="10" customFormat="false" ht="15" hidden="false" customHeight="false" outlineLevel="0" collapsed="false">
      <c r="A10" s="18" t="s">
        <v>151</v>
      </c>
      <c r="B10" s="18"/>
    </row>
    <row r="11" customFormat="false" ht="15" hidden="false" customHeight="false" outlineLevel="0" collapsed="false">
      <c r="A11" s="14" t="s">
        <v>45</v>
      </c>
      <c r="B11" s="15" t="n">
        <f aca="false">COUNTIF('Referral Tracking'!$C$2:$C$500,"Employee Pre-Submitted")</f>
        <v>4</v>
      </c>
    </row>
    <row r="12" customFormat="false" ht="15" hidden="false" customHeight="false" outlineLevel="0" collapsed="false">
      <c r="A12" s="14" t="s">
        <v>61</v>
      </c>
      <c r="B12" s="15" t="n">
        <f aca="false">COUNTIF('Referral Tracking'!$C$2:$C$500,"Client WhatsApp Form")</f>
        <v>4</v>
      </c>
    </row>
    <row r="13" customFormat="false" ht="15" hidden="false" customHeight="false" outlineLevel="0" collapsed="false">
      <c r="A13" s="18" t="s">
        <v>152</v>
      </c>
      <c r="B13" s="18"/>
    </row>
    <row r="14" customFormat="false" ht="15" hidden="false" customHeight="false" outlineLevel="0" collapsed="false">
      <c r="A14" s="14" t="s">
        <v>51</v>
      </c>
      <c r="B14" s="15" t="n">
        <f aca="false">COUNTIF('Referral Tracking'!$J$2:$J$500,"Sahel Reservation")</f>
        <v>5</v>
      </c>
    </row>
    <row r="15" customFormat="false" ht="15" hidden="false" customHeight="false" outlineLevel="0" collapsed="false">
      <c r="A15" s="14" t="s">
        <v>65</v>
      </c>
      <c r="B15" s="15" t="n">
        <f aca="false">COUNTIF('Referral Tracking'!$J$2:$J$500,"Furnishing Package")</f>
        <v>3</v>
      </c>
    </row>
  </sheetData>
  <mergeCells count="4">
    <mergeCell ref="A1:B1"/>
    <mergeCell ref="A2:B2"/>
    <mergeCell ref="A10:B10"/>
    <mergeCell ref="A13: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2026-07-20T22:36:30Z</dcterms:created>
  <dc:creator>openpyxl</dc:creator>
  <dc:description/>
  <dc:language>en-US</dc:language>
  <cp:lastModifiedBy/>
  <dcterms:modified xsi:type="dcterms:W3CDTF">2026-07-20T22:36:30Z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